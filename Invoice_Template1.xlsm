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xr:revisionPtr revIDLastSave="0" documentId="13_ncr:1_{560EF72C-C0C1-4C5F-BD19-84856394971E}" xr6:coauthVersionLast="47" xr6:coauthVersionMax="47" xr10:uidLastSave="{00000000-0000-0000-0000-000000000000}"/>
  <bookViews>
    <workbookView xWindow="-120" yWindow="-120" windowWidth="20730" windowHeight="11040" xr2:uid="{AB4F180C-778F-4449-9149-F176F1ABD0B6}"/>
  </bookViews>
  <sheets>
    <sheet name="Invoice" sheetId="1" r:id="rId1"/>
    <sheet name="Data Sheet" sheetId="2" r:id="rId2"/>
  </sheets>
  <definedNames>
    <definedName name="_xlnm._FilterDatabase" localSheetId="1" hidden="1">'Data Sheet'!$B$1:$E$1</definedName>
    <definedName name="_xlnm.Print_Area" localSheetId="0">Invoice!$B$2:$G$31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/>
  <c r="G12" i="1"/>
  <c r="F13" i="1"/>
  <c r="G13" i="1"/>
  <c r="F14" i="1"/>
  <c r="G14" i="1"/>
  <c r="F15" i="1"/>
  <c r="G15" i="1"/>
  <c r="F16" i="1"/>
  <c r="G16" i="1"/>
  <c r="F17" i="1"/>
  <c r="G17" i="1"/>
  <c r="F18" i="1"/>
  <c r="G18" i="1"/>
  <c r="F19" i="1"/>
  <c r="G19" i="1"/>
  <c r="G11" i="1"/>
  <c r="G4" i="1"/>
  <c r="D6" i="1"/>
  <c r="D7" i="1"/>
  <c r="G20" i="1"/>
  <c r="F11" i="1"/>
  <c r="G21" i="1" l="1"/>
  <c r="G22" i="1" s="1"/>
</calcChain>
</file>

<file path=xl/sharedStrings.xml><?xml version="1.0" encoding="utf-8"?>
<sst xmlns="http://schemas.openxmlformats.org/spreadsheetml/2006/main" count="42" uniqueCount="40">
  <si>
    <t>Invoice</t>
  </si>
  <si>
    <t>FROM:</t>
  </si>
  <si>
    <t>BILL TO:</t>
  </si>
  <si>
    <t>Company XYZ</t>
  </si>
  <si>
    <t>ABC Company</t>
  </si>
  <si>
    <t>Invoice Date:</t>
  </si>
  <si>
    <t>123 North Street</t>
  </si>
  <si>
    <t>New York, NY 12210</t>
  </si>
  <si>
    <t>info@xyz.com</t>
  </si>
  <si>
    <t>Description</t>
  </si>
  <si>
    <t>Quantity</t>
  </si>
  <si>
    <t>Unit Price</t>
  </si>
  <si>
    <t>Tax</t>
  </si>
  <si>
    <t>Total (exc. Tax)</t>
  </si>
  <si>
    <t>Product A</t>
  </si>
  <si>
    <t>Subtotal USD</t>
  </si>
  <si>
    <t>Total USD</t>
  </si>
  <si>
    <t>Thank you for your work!</t>
  </si>
  <si>
    <t>Company</t>
  </si>
  <si>
    <t>Address 1</t>
  </si>
  <si>
    <t>Address 2</t>
  </si>
  <si>
    <t>Contact</t>
  </si>
  <si>
    <t>123 South Street</t>
  </si>
  <si>
    <t>London, UK SE1 9NN</t>
  </si>
  <si>
    <t>info@abc.com</t>
  </si>
  <si>
    <t>599 North St</t>
  </si>
  <si>
    <t>New York, NY, 12290</t>
  </si>
  <si>
    <t>info@mike.inc</t>
  </si>
  <si>
    <t>450 West Street</t>
  </si>
  <si>
    <t>San Francisco, CA, 15000</t>
  </si>
  <si>
    <t>sam@smith.com</t>
  </si>
  <si>
    <t>John</t>
  </si>
  <si>
    <t>22 Street</t>
  </si>
  <si>
    <t>IL 13455</t>
  </si>
  <si>
    <t>info@john</t>
  </si>
  <si>
    <t>Product B</t>
  </si>
  <si>
    <t>Product C</t>
  </si>
  <si>
    <t>Invoice Number:</t>
  </si>
  <si>
    <t>Sam Co</t>
  </si>
  <si>
    <t>Mike Inc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</si>
</sst>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/m/yyyy"/>
    <numFmt numFmtId="165" formatCode="[$$-409]#,##0.00"/>
    <numFmt numFmtId="166" formatCode="[$$-409]#,##0"/>
  </numFmts>
  <fonts count="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8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6"/>
      <color rgb="FF000000"/>
      <name val="Aptos Narrow"/>
      <family val="2"/>
    </font>
  </fonts>
  <fills count="5">
    <fill>
      <patternFill patternType="none"/>
    </fill>
    <fill>
      <patternFill patternType="gray125"/>
    </fill>
    <fill>
      <patternFill patternType="solid">
        <fgColor rgb="FF07367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2">
    <xf numFmtId="0" fontId="0" fillId="0" borderId="0" xfId="0"/>
    <xf numFmtId="0" fontId="5" fillId="2" borderId="0" xfId="0" applyFont="1" applyFill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/>
    </xf>
    <xf numFmtId="0" fontId="5" fillId="2" borderId="0" xfId="0" applyFont="1" applyFill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4" fillId="3" borderId="0" xfId="0" applyFont="1" applyFill="1"/>
    <xf numFmtId="0" fontId="6" fillId="0" borderId="0" xfId="0" applyFont="1"/>
    <xf numFmtId="0" fontId="3" fillId="0" borderId="2" xfId="0" applyFont="1" applyBorder="1"/>
    <xf numFmtId="0" fontId="0" fillId="0" borderId="3" xfId="0" applyBorder="1"/>
    <xf numFmtId="0" fontId="0" fillId="0" borderId="4" xfId="0" applyBorder="1"/>
    <xf numFmtId="0" fontId="3" fillId="0" borderId="1" xfId="0" applyFont="1" applyBorder="1"/>
    <xf numFmtId="0" fontId="0" fillId="0" borderId="5" xfId="0" applyBorder="1"/>
    <xf numFmtId="0" fontId="4" fillId="0" borderId="1" xfId="0" applyFont="1" applyBorder="1"/>
    <xf numFmtId="164" fontId="0" fillId="0" borderId="5" xfId="0" applyNumberFormat="1" applyBorder="1" applyAlignment="1">
      <alignment horizontal="center"/>
    </xf>
    <xf numFmtId="0" fontId="0" fillId="0" borderId="1" xfId="0" applyBorder="1"/>
    <xf numFmtId="0" fontId="5" fillId="2" borderId="1" xfId="0" applyFont="1" applyFill="1" applyBorder="1"/>
    <xf numFmtId="0" fontId="5" fillId="2" borderId="5" xfId="0" applyFon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5" xfId="0" applyNumberFormat="1" applyBorder="1"/>
    <xf numFmtId="165" fontId="4" fillId="3" borderId="5" xfId="0" applyNumberFormat="1" applyFont="1" applyFill="1" applyBorder="1"/>
    <xf numFmtId="0" fontId="6" fillId="0" borderId="1" xfId="0" applyFont="1" applyBorder="1"/>
    <xf numFmtId="0" fontId="0" fillId="0" borderId="1" xfId="0" applyBorder="1" applyAlignment="1">
      <alignment horizontal="right"/>
    </xf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4" borderId="0" xfId="0" applyFill="1"/>
    <xf numFmtId="0" fontId="2" fillId="0" borderId="0" xfId="0" applyFont="1"/>
    <xf numFmtId="0" fontId="0" fillId="0" borderId="5" xfId="0" applyBorder="1" applyAlignment="1">
      <alignment horizontal="center"/>
    </xf>
    <xf numFmtId="0" fontId="1" fillId="0" borderId="0" xfId="1" applyFont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661675</xdr:colOff>
      <xdr:row>1</xdr:row>
      <xdr:rowOff>157899</xdr:rowOff>
    </xdr:from>
    <xdr:to>
      <xdr:col>6</xdr:col>
      <xdr:colOff>481325</xdr:colOff>
      <xdr:row>2</xdr:row>
      <xdr:rowOff>549049</xdr:rowOff>
    </xdr:to>
    <xdr:pic>
      <xdr:nvPicPr>
        <xdr:cNvPr id="2" name="Picture 1" descr="Airplane outline">
          <a:extLst>
            <a:ext uri="{FF2B5EF4-FFF2-40B4-BE49-F238E27FC236}">
              <a16:creationId xmlns:a16="http://schemas.microsoft.com/office/drawing/2014/main" id="{6D174CBA-C12A-4380-A8B4-C0D649C89B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/>
        <a:stretch/>
      </xdr:blipFill>
      <xdr:spPr>
        <a:xfrm>
          <a:off x="5347975" y="357924"/>
          <a:ext cx="572125" cy="5721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1</xdr:row>
          <xdr:rowOff>381000</xdr:rowOff>
        </xdr:from>
        <xdr:to>
          <xdr:col>10</xdr:col>
          <xdr:colOff>133350</xdr:colOff>
          <xdr:row>2</xdr:row>
          <xdr:rowOff>152400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600" b="1" i="0" u="none" strike="noStrike" baseline="0">
                  <a:solidFill>
                    <a:srgbClr val="000000"/>
                  </a:solidFill>
                  <a:latin typeface="Aptos Narrow"/>
                </a:rPr>
                <a:t>EXPORT AS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info@john" TargetMode="External"/><Relationship Id="rId2" Type="http://schemas.openxmlformats.org/officeDocument/2006/relationships/hyperlink" Target="mailto:sam@smith.com" TargetMode="External"/><Relationship Id="rId1" Type="http://schemas.openxmlformats.org/officeDocument/2006/relationships/hyperlink" Target="mailto:info@mike.inc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C4C4B2-8F64-4E67-BB62-7199443CD1D2}">
  <sheetPr codeName="Sheet1"/>
  <dimension ref="B2:G31"/>
  <sheetViews>
    <sheetView showGridLines="0" tabSelected="1" zoomScale="85" zoomScaleNormal="85" workbookViewId="0">
      <selection activeCell="D5" sqref="D5"/>
    </sheetView>
  </sheetViews>
  <sheetFormatPr defaultColWidth="12.140625" defaultRowHeight="15" x14ac:dyDescent="0.25"/>
  <cols>
    <col min="1" max="1" width="12.140625" style="28"/>
    <col min="2" max="2" width="17.28515625" style="28" customWidth="1"/>
    <col min="3" max="3" width="17" style="28" customWidth="1"/>
    <col min="4" max="4" width="13.5703125" style="28" customWidth="1"/>
    <col min="5" max="5" width="10.28515625" style="28" customWidth="1"/>
    <col min="6" max="6" width="13.5703125" style="28" bestFit="1" customWidth="1"/>
    <col min="7" max="7" width="15.42578125" style="28" customWidth="1"/>
    <col min="8" max="8" width="15" style="28" bestFit="1" customWidth="1"/>
    <col min="9" max="16384" width="12.140625" style="28"/>
  </cols>
  <sheetData>
    <row r="2" spans="2:7" ht="63.75" x14ac:dyDescent="1">
      <c r="B2" s="10" t="s">
        <v>0</v>
      </c>
      <c r="C2" s="11"/>
      <c r="D2" s="11"/>
      <c r="E2" s="11"/>
      <c r="F2" s="11"/>
      <c r="G2" s="12"/>
    </row>
    <row r="3" spans="2:7" ht="63.75" x14ac:dyDescent="1">
      <c r="B3" s="13"/>
      <c r="C3"/>
      <c r="D3"/>
      <c r="E3"/>
      <c r="F3"/>
      <c r="G3" s="14"/>
    </row>
    <row r="4" spans="2:7" ht="15.75" x14ac:dyDescent="0.25">
      <c r="B4" s="15" t="s">
        <v>1</v>
      </c>
      <c r="C4"/>
      <c r="D4" s="2" t="s">
        <v>2</v>
      </c>
      <c r="E4"/>
      <c r="F4" s="3" t="s">
        <v>5</v>
      </c>
      <c r="G4" s="16">
        <f ca="1">TODAY()</f>
        <v>45761</v>
      </c>
    </row>
    <row r="5" spans="2:7" ht="15.75" x14ac:dyDescent="0.25">
      <c r="B5" s="15" t="s">
        <v>3</v>
      </c>
      <c r="C5"/>
      <c r="D5" s="2" t="s">
        <v>38</v>
      </c>
      <c r="E5"/>
      <c r="F5" s="3" t="s">
        <v>37</v>
      </c>
      <c r="G5" s="30">
        <v>242</v>
      </c>
    </row>
    <row r="6" spans="2:7" ht="15.75" x14ac:dyDescent="0.25">
      <c r="B6" s="17" t="s">
        <v>6</v>
      </c>
      <c r="C6"/>
      <c r="D6" t="str">
        <f>_xlfn.XLOOKUP($D$5,'Data Sheet'!B:B,'Data Sheet'!C:C)</f>
        <v>450 West Street</v>
      </c>
      <c r="E6"/>
      <c r="F6" s="3"/>
      <c r="G6" s="16"/>
    </row>
    <row r="7" spans="2:7" x14ac:dyDescent="0.25">
      <c r="B7" s="17" t="s">
        <v>7</v>
      </c>
      <c r="C7"/>
      <c r="D7" t="str">
        <f>_xlfn.XLOOKUP($D$5,'Data Sheet'!B:B,'Data Sheet'!D:D)</f>
        <v>San Francisco, CA, 15000</v>
      </c>
      <c r="E7"/>
      <c r="F7"/>
      <c r="G7" s="14"/>
    </row>
    <row r="8" spans="2:7" x14ac:dyDescent="0.25">
      <c r="B8" s="17" t="s">
        <v>8</v>
      </c>
      <c r="C8"/>
      <c r="D8"/>
      <c r="E8"/>
      <c r="F8"/>
      <c r="G8" s="14"/>
    </row>
    <row r="9" spans="2:7" ht="20.100000000000001" customHeight="1" x14ac:dyDescent="0.25">
      <c r="B9" s="17"/>
      <c r="C9"/>
      <c r="D9"/>
      <c r="E9"/>
      <c r="F9"/>
      <c r="G9" s="14"/>
    </row>
    <row r="10" spans="2:7" ht="15.75" x14ac:dyDescent="0.25">
      <c r="B10" s="18" t="s">
        <v>9</v>
      </c>
      <c r="C10" s="5"/>
      <c r="D10" s="1" t="s">
        <v>10</v>
      </c>
      <c r="E10" s="1" t="s">
        <v>11</v>
      </c>
      <c r="F10" s="1" t="s">
        <v>12</v>
      </c>
      <c r="G10" s="19" t="s">
        <v>13</v>
      </c>
    </row>
    <row r="11" spans="2:7" x14ac:dyDescent="0.25">
      <c r="B11" s="17" t="s">
        <v>14</v>
      </c>
      <c r="C11"/>
      <c r="D11" s="4">
        <v>1</v>
      </c>
      <c r="E11" s="6">
        <v>50.25</v>
      </c>
      <c r="F11" s="6">
        <f>IF(D11="","",E11*D11*0.2)</f>
        <v>10.050000000000001</v>
      </c>
      <c r="G11" s="20">
        <f>IF(D11="","",D11*E11)</f>
        <v>50.25</v>
      </c>
    </row>
    <row r="12" spans="2:7" x14ac:dyDescent="0.25">
      <c r="B12" s="17" t="s">
        <v>35</v>
      </c>
      <c r="C12"/>
      <c r="D12" s="4">
        <v>2</v>
      </c>
      <c r="E12" s="6">
        <v>24</v>
      </c>
      <c r="F12" s="6">
        <f t="shared" ref="F12:F19" si="0">IF(D12="","",E12*D12*0.2)</f>
        <v>9.6000000000000014</v>
      </c>
      <c r="G12" s="20">
        <f t="shared" ref="G12:G19" si="1">IF(D12="","",D12*E12)</f>
        <v>48</v>
      </c>
    </row>
    <row r="13" spans="2:7" x14ac:dyDescent="0.25">
      <c r="B13" s="17" t="s">
        <v>36</v>
      </c>
      <c r="C13"/>
      <c r="D13" s="4">
        <v>1</v>
      </c>
      <c r="E13" s="6">
        <v>54</v>
      </c>
      <c r="F13" s="6">
        <f t="shared" si="0"/>
        <v>10.8</v>
      </c>
      <c r="G13" s="20">
        <f t="shared" si="1"/>
        <v>54</v>
      </c>
    </row>
    <row r="14" spans="2:7" x14ac:dyDescent="0.25">
      <c r="B14" s="17"/>
      <c r="C14"/>
      <c r="D14" s="4"/>
      <c r="E14" s="6"/>
      <c r="F14" s="6" t="str">
        <f t="shared" si="0"/>
        <v/>
      </c>
      <c r="G14" s="20" t="str">
        <f t="shared" si="1"/>
        <v/>
      </c>
    </row>
    <row r="15" spans="2:7" x14ac:dyDescent="0.25">
      <c r="B15" s="17"/>
      <c r="C15"/>
      <c r="D15" s="4"/>
      <c r="E15" s="6"/>
      <c r="F15" s="6" t="str">
        <f t="shared" si="0"/>
        <v/>
      </c>
      <c r="G15" s="20" t="str">
        <f t="shared" si="1"/>
        <v/>
      </c>
    </row>
    <row r="16" spans="2:7" x14ac:dyDescent="0.25">
      <c r="B16" s="17"/>
      <c r="C16"/>
      <c r="D16" s="4"/>
      <c r="E16" s="6"/>
      <c r="F16" s="6" t="str">
        <f t="shared" si="0"/>
        <v/>
      </c>
      <c r="G16" s="20" t="str">
        <f t="shared" si="1"/>
        <v/>
      </c>
    </row>
    <row r="17" spans="2:7" x14ac:dyDescent="0.25">
      <c r="B17" s="17"/>
      <c r="C17"/>
      <c r="D17" s="4"/>
      <c r="E17" s="6"/>
      <c r="F17" s="6" t="str">
        <f t="shared" si="0"/>
        <v/>
      </c>
      <c r="G17" s="20" t="str">
        <f t="shared" si="1"/>
        <v/>
      </c>
    </row>
    <row r="18" spans="2:7" x14ac:dyDescent="0.25">
      <c r="B18" s="17"/>
      <c r="C18"/>
      <c r="D18" s="4"/>
      <c r="E18" s="6"/>
      <c r="F18" s="6" t="str">
        <f t="shared" si="0"/>
        <v/>
      </c>
      <c r="G18" s="20" t="str">
        <f t="shared" si="1"/>
        <v/>
      </c>
    </row>
    <row r="19" spans="2:7" x14ac:dyDescent="0.25">
      <c r="B19" s="17"/>
      <c r="C19"/>
      <c r="D19" s="4"/>
      <c r="E19" s="7"/>
      <c r="F19" s="6" t="str">
        <f t="shared" si="0"/>
        <v/>
      </c>
      <c r="G19" s="20" t="str">
        <f t="shared" si="1"/>
        <v/>
      </c>
    </row>
    <row r="20" spans="2:7" x14ac:dyDescent="0.25">
      <c r="B20" s="17"/>
      <c r="C20"/>
      <c r="D20"/>
      <c r="E20"/>
      <c r="F20" t="s">
        <v>15</v>
      </c>
      <c r="G20" s="21">
        <f>SUM(E11:E18)</f>
        <v>128.25</v>
      </c>
    </row>
    <row r="21" spans="2:7" x14ac:dyDescent="0.25">
      <c r="B21" s="17"/>
      <c r="C21"/>
      <c r="D21"/>
      <c r="E21"/>
      <c r="F21" t="s">
        <v>12</v>
      </c>
      <c r="G21" s="21">
        <f>SUM(F11:F18)</f>
        <v>30.450000000000003</v>
      </c>
    </row>
    <row r="22" spans="2:7" ht="15.75" x14ac:dyDescent="0.25">
      <c r="B22" s="17"/>
      <c r="C22"/>
      <c r="D22"/>
      <c r="E22"/>
      <c r="F22" s="8" t="s">
        <v>16</v>
      </c>
      <c r="G22" s="22">
        <f>SUM(G20:G21)</f>
        <v>158.69999999999999</v>
      </c>
    </row>
    <row r="23" spans="2:7" x14ac:dyDescent="0.25">
      <c r="B23" s="17"/>
      <c r="C23"/>
      <c r="D23"/>
      <c r="E23"/>
      <c r="F23"/>
      <c r="G23" s="14"/>
    </row>
    <row r="24" spans="2:7" x14ac:dyDescent="0.25">
      <c r="B24" s="17"/>
      <c r="C24"/>
      <c r="D24"/>
      <c r="E24"/>
      <c r="F24"/>
      <c r="G24" s="14"/>
    </row>
    <row r="25" spans="2:7" ht="24" x14ac:dyDescent="0.4">
      <c r="B25" s="23"/>
      <c r="C25"/>
      <c r="D25" s="9"/>
      <c r="E25"/>
      <c r="F25"/>
      <c r="G25" s="14"/>
    </row>
    <row r="26" spans="2:7" x14ac:dyDescent="0.25">
      <c r="B26" s="24"/>
      <c r="C26" s="4"/>
      <c r="D26" s="29"/>
      <c r="E26"/>
      <c r="F26"/>
      <c r="G26" s="14"/>
    </row>
    <row r="27" spans="2:7" ht="24" x14ac:dyDescent="0.4">
      <c r="B27" s="24"/>
      <c r="C27" s="4"/>
      <c r="D27" s="9"/>
      <c r="E27"/>
      <c r="F27"/>
      <c r="G27" s="14"/>
    </row>
    <row r="28" spans="2:7" x14ac:dyDescent="0.25">
      <c r="B28" s="24"/>
      <c r="C28" s="4"/>
      <c r="D28" s="29" t="s">
        <v>17</v>
      </c>
      <c r="E28"/>
      <c r="F28"/>
      <c r="G28" s="14"/>
    </row>
    <row r="29" spans="2:7" x14ac:dyDescent="0.25">
      <c r="B29" s="24"/>
      <c r="C29" s="4"/>
      <c r="D29"/>
      <c r="E29"/>
      <c r="F29"/>
      <c r="G29" s="14"/>
    </row>
    <row r="30" spans="2:7" x14ac:dyDescent="0.25">
      <c r="B30" s="24"/>
      <c r="C30" s="4"/>
      <c r="D30"/>
      <c r="E30"/>
      <c r="F30"/>
      <c r="G30" s="14"/>
    </row>
    <row r="31" spans="2:7" x14ac:dyDescent="0.25">
      <c r="B31" s="25"/>
      <c r="C31" s="26"/>
      <c r="D31" s="26"/>
      <c r="E31" s="26"/>
      <c r="F31" s="26"/>
      <c r="G31" s="27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5" r:id="rId4" name="Button 31">
              <controlPr defaultSize="0" print="0" autoFill="0" autoPict="0" macro="[0]!PDF">
                <anchor moveWithCells="1" sizeWithCells="1">
                  <from>
                    <xdr:col>8</xdr:col>
                    <xdr:colOff>342900</xdr:colOff>
                    <xdr:row>1</xdr:row>
                    <xdr:rowOff>381000</xdr:rowOff>
                  </from>
                  <to>
                    <xdr:col>10</xdr:col>
                    <xdr:colOff>133350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340647F-77C0-4D5F-B326-49A7B8315A35}">
          <x14:formula1>
            <xm:f>'Data Sheet'!$B$2:$B$1048576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2FBBB-468B-44F5-AD0C-E991466A3D2B}">
  <sheetPr codeName="Sheet2"/>
  <dimension ref="B1:E5"/>
  <sheetViews>
    <sheetView workbookViewId="0">
      <selection activeCell="E5" sqref="E5"/>
    </sheetView>
  </sheetViews>
  <sheetFormatPr defaultRowHeight="15" x14ac:dyDescent="0.25"/>
  <cols>
    <col min="2" max="2" width="13.28515625" bestFit="1" customWidth="1"/>
    <col min="3" max="3" width="14.85546875" bestFit="1" customWidth="1"/>
    <col min="4" max="4" width="23.140625" bestFit="1" customWidth="1"/>
    <col min="5" max="5" width="16.140625" bestFit="1" customWidth="1"/>
  </cols>
  <sheetData>
    <row r="1" spans="2:5" ht="15.75" x14ac:dyDescent="0.25">
      <c r="B1" s="1" t="s">
        <v>18</v>
      </c>
      <c r="C1" s="1" t="s">
        <v>19</v>
      </c>
      <c r="D1" s="1" t="s">
        <v>20</v>
      </c>
      <c r="E1" s="1" t="s">
        <v>21</v>
      </c>
    </row>
    <row r="2" spans="2:5" x14ac:dyDescent="0.25">
      <c r="B2" t="s">
        <v>4</v>
      </c>
      <c r="C2" t="s">
        <v>22</v>
      </c>
      <c r="D2" t="s">
        <v>23</v>
      </c>
      <c r="E2" t="s">
        <v>24</v>
      </c>
    </row>
    <row r="3" spans="2:5" x14ac:dyDescent="0.25">
      <c r="B3" t="s">
        <v>38</v>
      </c>
      <c r="C3" t="s">
        <v>28</v>
      </c>
      <c r="D3" t="s">
        <v>29</v>
      </c>
      <c r="E3" t="s">
        <v>30</v>
      </c>
    </row>
    <row r="4" spans="2:5" x14ac:dyDescent="0.25">
      <c r="B4" t="s">
        <v>39</v>
      </c>
      <c r="C4" t="s">
        <v>25</v>
      </c>
      <c r="D4" t="s">
        <v>26</v>
      </c>
      <c r="E4" t="s">
        <v>27</v>
      </c>
    </row>
    <row r="5" spans="2:5" x14ac:dyDescent="0.25">
      <c r="B5" t="s">
        <v>31</v>
      </c>
      <c r="C5" t="s">
        <v>32</v>
      </c>
      <c r="D5" t="s">
        <v>33</v>
      </c>
      <c r="E5" s="31" t="s">
        <v>34</v>
      </c>
    </row>
  </sheetData>
  <hyperlinks>
    <hyperlink ref="E4" r:id="rId1" xr:uid="{140D5A73-4F0A-4FA8-B0F6-47CF322A0A9A}"/>
    <hyperlink ref="E3" r:id="rId2" xr:uid="{F2A1B93E-EB65-4C27-B87F-4713C3798891}"/>
    <hyperlink ref="E5" r:id="rId3" xr:uid="{AE295C04-6323-4921-9589-1C996D585B3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Invoice</vt:lpstr>
      <vt:lpstr>Data Sheet</vt:lpstr>
      <vt:lpstr>Invoice!Print_Area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Gnanadeep</dc:creator>
  <cp:lastModifiedBy>Gnanadeep</cp:lastModifiedBy>
  <cp:lastPrinted>2025-04-14T01:46:55Z</cp:lastPrinted>
  <dcterms:created xsi:type="dcterms:W3CDTF">2025-04-14T00:21:45Z</dcterms:created>
  <dcterms:modified xsi:type="dcterms:W3CDTF">2025-04-14T01:47:04Z</dcterms:modified>
</cp:coreProperties>
</file>